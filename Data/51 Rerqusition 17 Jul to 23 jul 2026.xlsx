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 Going Projects\FOUJI FOUNDATION MIAWALI\Requestion\"/>
    </mc:Choice>
  </mc:AlternateContent>
  <bookViews>
    <workbookView xWindow="0" yWindow="0" windowWidth="19200" windowHeight="10890"/>
  </bookViews>
  <sheets>
    <sheet name="School" sheetId="5" r:id="rId1"/>
  </sheets>
  <definedNames>
    <definedName name="_xlnm.Print_Area" localSheetId="0">School!$A$2:$F$43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5" l="1"/>
  <c r="F37" i="5"/>
  <c r="E31" i="5"/>
  <c r="E22" i="5"/>
  <c r="E24" i="5" l="1"/>
  <c r="E33" i="5"/>
  <c r="L18" i="5"/>
  <c r="M13" i="5"/>
  <c r="E12" i="5"/>
  <c r="E11" i="5"/>
  <c r="E25" i="5" l="1"/>
  <c r="H15" i="5" l="1"/>
  <c r="I13" i="5" l="1"/>
  <c r="H13" i="5" l="1"/>
  <c r="D38" i="5" l="1"/>
  <c r="D40" i="5" l="1"/>
  <c r="H14" i="5"/>
  <c r="J14" i="5" s="1"/>
  <c r="E34" i="5" l="1"/>
  <c r="E21" i="5"/>
  <c r="E10" i="5"/>
  <c r="E9" i="5"/>
  <c r="E8" i="5"/>
  <c r="E26" i="5" l="1"/>
  <c r="E19" i="5"/>
  <c r="D42" i="5" l="1"/>
  <c r="F34" i="5" l="1"/>
  <c r="F19" i="5" l="1"/>
  <c r="F26" i="5"/>
  <c r="F35" i="5" l="1"/>
</calcChain>
</file>

<file path=xl/sharedStrings.xml><?xml version="1.0" encoding="utf-8"?>
<sst xmlns="http://schemas.openxmlformats.org/spreadsheetml/2006/main" count="50" uniqueCount="49">
  <si>
    <t>Sr. #</t>
  </si>
  <si>
    <t>Particulars</t>
  </si>
  <si>
    <t>Market Rate</t>
  </si>
  <si>
    <t xml:space="preserve">Qty </t>
  </si>
  <si>
    <t xml:space="preserve">Amount </t>
  </si>
  <si>
    <t xml:space="preserve">Total </t>
  </si>
  <si>
    <t>To</t>
  </si>
  <si>
    <t>Remarks</t>
  </si>
  <si>
    <t>Materials</t>
  </si>
  <si>
    <t>Miscellaneous &amp; Administration</t>
  </si>
  <si>
    <t xml:space="preserve">                                           REQUISITION FORM FOR SITE WORK DONE </t>
  </si>
  <si>
    <t xml:space="preserve">           HAJI ABDUL RAHEEM CONSTRUCTION COMPANY</t>
  </si>
  <si>
    <t>Labours</t>
  </si>
  <si>
    <t xml:space="preserve">Total Expense Made </t>
  </si>
  <si>
    <t>Fauji Foaundation Staff food</t>
  </si>
  <si>
    <t>5% retention Money</t>
  </si>
  <si>
    <t>Total amount</t>
  </si>
  <si>
    <t xml:space="preserve">Profit  </t>
  </si>
  <si>
    <t>Total Amount</t>
  </si>
  <si>
    <t>CONSTRUCTION OF FOUJI FOUNDATION SCHOOL MIAWALI</t>
  </si>
  <si>
    <t>Bilal Labour  (maintance &amp; stage)</t>
  </si>
  <si>
    <t xml:space="preserve">Staff food </t>
  </si>
  <si>
    <t>Faraz Meson ( mainatance  &amp; Operator )</t>
  </si>
  <si>
    <t xml:space="preserve">Shahbaz Sand Damper 1x Trip </t>
  </si>
  <si>
    <r>
      <t>Amount Received in Shape of 1st~</t>
    </r>
    <r>
      <rPr>
        <b/>
        <sz val="16"/>
        <rFont val="Calibri"/>
        <family val="2"/>
        <scheme val="minor"/>
      </rPr>
      <t>4th</t>
    </r>
    <r>
      <rPr>
        <sz val="16"/>
        <rFont val="Calibri"/>
        <family val="2"/>
        <scheme val="minor"/>
      </rPr>
      <t xml:space="preserve"> RAR (Bills) </t>
    </r>
  </si>
  <si>
    <r>
      <t xml:space="preserve">Afsar electriction (Cell # 0313-9359505) Rate Rs.30/sft Coverd Area 27,108 sft </t>
    </r>
    <r>
      <rPr>
        <b/>
        <sz val="12"/>
        <color theme="1"/>
        <rFont val="Calibri"/>
        <family val="2"/>
        <scheme val="minor"/>
      </rPr>
      <t>(Paid Rs.350,000/-)</t>
    </r>
  </si>
  <si>
    <t xml:space="preserve">Abdul ur ahman Couring </t>
  </si>
  <si>
    <r>
      <t xml:space="preserve">Afsar Plumbing (Cell # 0313-9359505)  </t>
    </r>
    <r>
      <rPr>
        <b/>
        <sz val="12"/>
        <color theme="1"/>
        <rFont val="Calibri"/>
        <family val="2"/>
        <scheme val="minor"/>
      </rPr>
      <t>(Paid Rs.80,000/-)</t>
    </r>
  </si>
  <si>
    <t xml:space="preserve"> Ref No.51</t>
  </si>
  <si>
    <t>Date: 17-Jul-2026</t>
  </si>
  <si>
    <t>Date: 23-Jul-2026</t>
  </si>
  <si>
    <t>Adnan labour</t>
  </si>
  <si>
    <t>Abdullah electriction</t>
  </si>
  <si>
    <r>
      <t xml:space="preserve">Abbas Pt (Cell#0303-5192352) Brick work Rs.35/- per/sft Bill groun &amp; first floor </t>
    </r>
    <r>
      <rPr>
        <b/>
        <sz val="12"/>
        <color theme="1"/>
        <rFont val="Calibri"/>
        <family val="2"/>
        <scheme val="minor"/>
      </rPr>
      <t>Total bill Rs.1,385,683/-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(Paid Rs.1,544,523/-) </t>
    </r>
  </si>
  <si>
    <r>
      <t>Javed PT Plaster (Cell# 0347-9813452) Rate Rs.19  sft</t>
    </r>
    <r>
      <rPr>
        <b/>
        <sz val="12"/>
        <color theme="1"/>
        <rFont val="Calibri"/>
        <family val="2"/>
        <scheme val="minor"/>
      </rPr>
      <t xml:space="preserve"> Total Rs.1,123,280/ (Paid 1,263,280/-)</t>
    </r>
  </si>
  <si>
    <r>
      <t xml:space="preserve">Ayoub Grinding PT Rate 28sft </t>
    </r>
    <r>
      <rPr>
        <b/>
        <sz val="12"/>
        <color theme="1"/>
        <rFont val="Calibri"/>
        <family val="2"/>
        <scheme val="minor"/>
      </rPr>
      <t>(Paid Rs.80,000/-)</t>
    </r>
  </si>
  <si>
    <t>Marble carriage &amp; unloading</t>
  </si>
  <si>
    <t>Bike Petrol Rs.3,000/-  maintance Rs.4,720/-</t>
  </si>
  <si>
    <t>Site electric bill</t>
  </si>
  <si>
    <t>Tile fixer</t>
  </si>
  <si>
    <t>tile bond Qty 150x400 Rs.60,000/- carriage unloading Rs.14,500/-</t>
  </si>
  <si>
    <t>Lift machine diesel Rs.2,500/- loader carriage Rs.800/- chips powder Rs.9,500/- exhaust Rs.1,000/- Tagari &amp; chisel Rs.2,570/- wheelbarrow repair Rs.550/- Wheelbarrow tyre rim Rs. 2,950/- Garden pipe Rs.13,980/- Eectric power plug Rs.800/- Electric cable Rs.1750/-</t>
  </si>
  <si>
    <t>Photo copy drawing Rs.3,600/- Fair Rs.500/-</t>
  </si>
  <si>
    <t xml:space="preserve">Jawad Car petrol </t>
  </si>
  <si>
    <t xml:space="preserve">Total  </t>
  </si>
  <si>
    <t>Cement 500 bags</t>
  </si>
  <si>
    <t>Paid</t>
  </si>
  <si>
    <t>Paid Amount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</si>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</sst>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Rs-420]\ #,##0.00"/>
    <numFmt numFmtId="165" formatCode="_(* #,##0_);_(* \(#,##0\);_(* &quot;-&quot;??_);_(@_)"/>
    <numFmt numFmtId="166" formatCode="[$Rs-420]\ #,##0"/>
    <numFmt numFmtId="167" formatCode="#,##0.0"/>
    <numFmt numFmtId="168" formatCode="_(* #,##0.0_);_(* \(#,##0.0\);_(* &quot;-&quot;??_);_(@_)"/>
    <numFmt numFmtId="169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0" xfId="0" applyBorder="1"/>
    <xf numFmtId="0" fontId="6" fillId="0" borderId="0" xfId="0" applyFont="1"/>
    <xf numFmtId="0" fontId="6" fillId="0" borderId="0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43" fontId="7" fillId="0" borderId="1" xfId="1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 wrapText="1"/>
    </xf>
    <xf numFmtId="165" fontId="0" fillId="0" borderId="8" xfId="0" applyNumberFormat="1" applyFont="1" applyFill="1" applyBorder="1"/>
    <xf numFmtId="0" fontId="0" fillId="0" borderId="0" xfId="0" applyFont="1"/>
    <xf numFmtId="166" fontId="1" fillId="0" borderId="7" xfId="0" applyNumberFormat="1" applyFont="1" applyBorder="1" applyAlignment="1">
      <alignment vertical="center"/>
    </xf>
    <xf numFmtId="43" fontId="0" fillId="0" borderId="0" xfId="1" applyFont="1"/>
    <xf numFmtId="0" fontId="7" fillId="2" borderId="9" xfId="0" applyFont="1" applyFill="1" applyBorder="1" applyAlignment="1">
      <alignment horizontal="center" vertical="center"/>
    </xf>
    <xf numFmtId="0" fontId="0" fillId="2" borderId="0" xfId="0" applyFont="1" applyFill="1"/>
    <xf numFmtId="0" fontId="0" fillId="2" borderId="0" xfId="0" applyFont="1" applyFill="1" applyBorder="1"/>
    <xf numFmtId="0" fontId="7" fillId="2" borderId="6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left" vertical="center"/>
    </xf>
    <xf numFmtId="0" fontId="0" fillId="2" borderId="3" xfId="0" applyFont="1" applyFill="1" applyBorder="1"/>
    <xf numFmtId="43" fontId="0" fillId="2" borderId="0" xfId="1" applyFont="1" applyFill="1" applyBorder="1"/>
    <xf numFmtId="0" fontId="7" fillId="2" borderId="13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horizontal="center" vertical="center"/>
    </xf>
    <xf numFmtId="164" fontId="7" fillId="2" borderId="13" xfId="0" applyNumberFormat="1" applyFont="1" applyFill="1" applyBorder="1" applyAlignment="1">
      <alignment horizontal="left" vertical="center"/>
    </xf>
    <xf numFmtId="0" fontId="0" fillId="2" borderId="14" xfId="0" applyFont="1" applyFill="1" applyBorder="1"/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 wrapText="1"/>
    </xf>
    <xf numFmtId="43" fontId="7" fillId="2" borderId="16" xfId="1" applyFont="1" applyFill="1" applyBorder="1" applyAlignment="1">
      <alignment horizontal="right" vertical="center"/>
    </xf>
    <xf numFmtId="0" fontId="8" fillId="0" borderId="17" xfId="0" applyFont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3" fontId="1" fillId="0" borderId="5" xfId="1" applyFont="1" applyBorder="1" applyAlignment="1">
      <alignment horizontal="center" vertical="center"/>
    </xf>
    <xf numFmtId="166" fontId="1" fillId="0" borderId="2" xfId="0" applyNumberFormat="1" applyFont="1" applyBorder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4" fontId="11" fillId="0" borderId="8" xfId="0" applyNumberFormat="1" applyFont="1" applyBorder="1" applyAlignment="1">
      <alignment vertical="center"/>
    </xf>
    <xf numFmtId="167" fontId="11" fillId="0" borderId="8" xfId="0" applyNumberFormat="1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167" fontId="11" fillId="0" borderId="21" xfId="0" applyNumberFormat="1" applyFont="1" applyBorder="1" applyAlignment="1">
      <alignment vertical="center"/>
    </xf>
    <xf numFmtId="168" fontId="7" fillId="0" borderId="1" xfId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43" fontId="0" fillId="0" borderId="0" xfId="0" applyNumberFormat="1"/>
    <xf numFmtId="43" fontId="2" fillId="0" borderId="1" xfId="1" applyFont="1" applyBorder="1" applyAlignment="1">
      <alignment horizontal="center" vertical="center" wrapText="1"/>
    </xf>
    <xf numFmtId="169" fontId="7" fillId="2" borderId="16" xfId="0" applyNumberFormat="1" applyFont="1" applyFill="1" applyBorder="1" applyAlignment="1">
      <alignment horizontal="center" vertical="center"/>
    </xf>
    <xf numFmtId="166" fontId="8" fillId="2" borderId="2" xfId="0" applyNumberFormat="1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left" vertical="center"/>
    </xf>
    <xf numFmtId="168" fontId="7" fillId="0" borderId="6" xfId="1" applyNumberFormat="1" applyFont="1" applyFill="1" applyBorder="1" applyAlignment="1">
      <alignment horizontal="center" vertical="center" wrapText="1"/>
    </xf>
    <xf numFmtId="165" fontId="7" fillId="0" borderId="6" xfId="1" applyNumberFormat="1" applyFont="1" applyFill="1" applyBorder="1" applyAlignment="1">
      <alignment horizontal="center" vertical="center" wrapText="1"/>
    </xf>
    <xf numFmtId="43" fontId="2" fillId="0" borderId="6" xfId="1" applyFont="1" applyBorder="1" applyAlignment="1">
      <alignment horizontal="center" vertical="center" wrapText="1"/>
    </xf>
    <xf numFmtId="165" fontId="0" fillId="0" borderId="3" xfId="0" applyNumberFormat="1" applyFont="1" applyFill="1" applyBorder="1"/>
    <xf numFmtId="43" fontId="0" fillId="0" borderId="0" xfId="0" applyNumberFormat="1" applyFont="1"/>
    <xf numFmtId="0" fontId="11" fillId="0" borderId="13" xfId="0" applyFont="1" applyBorder="1" applyAlignment="1">
      <alignment vertical="center"/>
    </xf>
    <xf numFmtId="4" fontId="11" fillId="0" borderId="14" xfId="0" applyNumberFormat="1" applyFont="1" applyBorder="1" applyAlignment="1">
      <alignment vertical="center"/>
    </xf>
    <xf numFmtId="0" fontId="5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43" fontId="2" fillId="0" borderId="25" xfId="1" applyFont="1" applyBorder="1" applyAlignment="1">
      <alignment horizontal="center" vertical="center" wrapText="1"/>
    </xf>
    <xf numFmtId="43" fontId="2" fillId="0" borderId="26" xfId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vertical="center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left" vertical="center" wrapText="1"/>
    </xf>
    <xf numFmtId="43" fontId="7" fillId="0" borderId="20" xfId="1" applyFont="1" applyFill="1" applyBorder="1" applyAlignment="1">
      <alignment horizontal="center" vertical="center" wrapText="1"/>
    </xf>
    <xf numFmtId="165" fontId="7" fillId="0" borderId="20" xfId="1" applyNumberFormat="1" applyFont="1" applyFill="1" applyBorder="1" applyAlignment="1">
      <alignment horizontal="center" vertical="center" wrapText="1"/>
    </xf>
    <xf numFmtId="43" fontId="2" fillId="0" borderId="20" xfId="1" applyFont="1" applyBorder="1" applyAlignment="1">
      <alignment horizontal="center" vertical="center" wrapText="1"/>
    </xf>
    <xf numFmtId="43" fontId="2" fillId="0" borderId="21" xfId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3" fontId="1" fillId="0" borderId="5" xfId="1" applyFont="1" applyBorder="1" applyAlignment="1">
      <alignment horizontal="center" vertical="center"/>
    </xf>
    <xf numFmtId="43" fontId="1" fillId="0" borderId="7" xfId="1" applyFont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right" vertical="center"/>
    </xf>
    <xf numFmtId="0" fontId="1" fillId="2" borderId="28" xfId="0" applyFont="1" applyFill="1" applyBorder="1" applyAlignment="1">
      <alignment horizontal="right" vertical="center"/>
    </xf>
    <xf numFmtId="0" fontId="1" fillId="2" borderId="2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left" vertical="center" wrapText="1"/>
    </xf>
    <xf numFmtId="43" fontId="7" fillId="0" borderId="16" xfId="1" applyFont="1" applyFill="1" applyBorder="1" applyAlignment="1">
      <alignment horizontal="center" vertical="center" wrapText="1"/>
    </xf>
    <xf numFmtId="165" fontId="7" fillId="0" borderId="16" xfId="1" applyNumberFormat="1" applyFont="1" applyFill="1" applyBorder="1" applyAlignment="1">
      <alignment horizontal="center" vertical="center" wrapText="1"/>
    </xf>
    <xf numFmtId="43" fontId="2" fillId="0" borderId="16" xfId="1" applyFont="1" applyBorder="1" applyAlignment="1">
      <alignment horizontal="center" vertical="center" wrapText="1"/>
    </xf>
    <xf numFmtId="165" fontId="0" fillId="0" borderId="1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5"/>
  <sheetViews>
    <sheetView tabSelected="1" topLeftCell="A30" zoomScaleNormal="100" zoomScaleSheetLayoutView="100" workbookViewId="0">
      <selection activeCell="D42" sqref="D42"/>
    </sheetView>
  </sheetViews>
  <sheetFormatPr defaultColWidth="9.140625" defaultRowHeight="15" x14ac:dyDescent="0.25"/>
  <cols>
    <col min="1" max="1" width="5.28515625" style="4" bestFit="1" customWidth="1"/>
    <col min="2" max="2" width="46.28515625" style="1" customWidth="1"/>
    <col min="3" max="3" width="6.140625" style="1" bestFit="1" customWidth="1"/>
    <col min="4" max="4" width="21" style="1" bestFit="1" customWidth="1"/>
    <col min="5" max="5" width="14" style="1" bestFit="1" customWidth="1"/>
    <col min="6" max="6" width="20" style="1" bestFit="1" customWidth="1"/>
    <col min="7" max="7" width="9.140625" style="1"/>
    <col min="8" max="8" width="13.28515625" style="1" bestFit="1" customWidth="1"/>
    <col min="9" max="9" width="14.28515625" style="1" bestFit="1" customWidth="1"/>
    <col min="10" max="16384" width="9.140625" style="1"/>
  </cols>
  <sheetData>
    <row r="1" spans="1:13" ht="15.75" thickBot="1" x14ac:dyDescent="0.3">
      <c r="A1" s="5"/>
      <c r="B1" s="3"/>
      <c r="C1" s="3"/>
      <c r="D1" s="3"/>
      <c r="E1" s="3"/>
      <c r="F1" s="3"/>
    </row>
    <row r="2" spans="1:13" ht="29.25" customHeight="1" thickBot="1" x14ac:dyDescent="0.3">
      <c r="A2" s="77" t="s">
        <v>11</v>
      </c>
      <c r="B2" s="78"/>
      <c r="C2" s="78"/>
      <c r="D2" s="78"/>
      <c r="E2" s="78"/>
      <c r="F2" s="79"/>
    </row>
    <row r="3" spans="1:13" ht="24.75" customHeight="1" thickBot="1" x14ac:dyDescent="0.3">
      <c r="A3" s="80" t="s">
        <v>19</v>
      </c>
      <c r="B3" s="81"/>
      <c r="C3" s="81"/>
      <c r="D3" s="81"/>
      <c r="E3" s="81"/>
      <c r="F3" s="82"/>
    </row>
    <row r="4" spans="1:13" ht="25.5" customHeight="1" thickBot="1" x14ac:dyDescent="0.3">
      <c r="A4" s="83" t="s">
        <v>10</v>
      </c>
      <c r="B4" s="84"/>
      <c r="C4" s="84"/>
      <c r="D4" s="84"/>
      <c r="E4" s="85"/>
      <c r="F4" s="2" t="s">
        <v>28</v>
      </c>
    </row>
    <row r="5" spans="1:13" ht="25.5" customHeight="1" thickBot="1" x14ac:dyDescent="0.3">
      <c r="A5" s="77" t="s">
        <v>29</v>
      </c>
      <c r="B5" s="78"/>
      <c r="C5" s="33" t="s">
        <v>6</v>
      </c>
      <c r="D5" s="86" t="s">
        <v>30</v>
      </c>
      <c r="E5" s="86"/>
      <c r="F5" s="87"/>
    </row>
    <row r="6" spans="1:13" ht="25.5" customHeight="1" thickBot="1" x14ac:dyDescent="0.3">
      <c r="A6" s="77" t="s">
        <v>12</v>
      </c>
      <c r="B6" s="78"/>
      <c r="C6" s="78"/>
      <c r="D6" s="78"/>
      <c r="E6" s="78"/>
      <c r="F6" s="79"/>
    </row>
    <row r="7" spans="1:13" ht="25.5" customHeight="1" thickBot="1" x14ac:dyDescent="0.3">
      <c r="A7" s="56" t="s">
        <v>0</v>
      </c>
      <c r="B7" s="57" t="s">
        <v>1</v>
      </c>
      <c r="C7" s="58" t="s">
        <v>3</v>
      </c>
      <c r="D7" s="59" t="s">
        <v>2</v>
      </c>
      <c r="E7" s="60" t="s">
        <v>4</v>
      </c>
      <c r="F7" s="61" t="s">
        <v>7</v>
      </c>
    </row>
    <row r="8" spans="1:13" s="11" customFormat="1" ht="40.5" customHeight="1" x14ac:dyDescent="0.25">
      <c r="A8" s="47">
        <v>1</v>
      </c>
      <c r="B8" s="48" t="s">
        <v>22</v>
      </c>
      <c r="C8" s="49">
        <v>3</v>
      </c>
      <c r="D8" s="50">
        <v>1900</v>
      </c>
      <c r="E8" s="51">
        <f>D8*C8</f>
        <v>5700</v>
      </c>
      <c r="F8" s="52"/>
    </row>
    <row r="9" spans="1:13" s="11" customFormat="1" ht="40.5" customHeight="1" x14ac:dyDescent="0.25">
      <c r="A9" s="6">
        <v>2</v>
      </c>
      <c r="B9" s="7" t="s">
        <v>20</v>
      </c>
      <c r="C9" s="41">
        <v>6</v>
      </c>
      <c r="D9" s="9">
        <v>1200</v>
      </c>
      <c r="E9" s="44">
        <f>D9*C9</f>
        <v>7200</v>
      </c>
      <c r="F9" s="10"/>
    </row>
    <row r="10" spans="1:13" s="11" customFormat="1" ht="40.5" customHeight="1" x14ac:dyDescent="0.25">
      <c r="A10" s="6">
        <v>3</v>
      </c>
      <c r="B10" s="7" t="s">
        <v>26</v>
      </c>
      <c r="C10" s="41">
        <v>3</v>
      </c>
      <c r="D10" s="9">
        <v>1200</v>
      </c>
      <c r="E10" s="44">
        <f>D10*C10</f>
        <v>3600</v>
      </c>
      <c r="F10" s="10"/>
    </row>
    <row r="11" spans="1:13" s="11" customFormat="1" ht="40.5" customHeight="1" x14ac:dyDescent="0.25">
      <c r="A11" s="6"/>
      <c r="B11" s="7" t="s">
        <v>31</v>
      </c>
      <c r="C11" s="41">
        <v>6</v>
      </c>
      <c r="D11" s="9">
        <v>1200</v>
      </c>
      <c r="E11" s="44">
        <f>D11*C11</f>
        <v>7200</v>
      </c>
      <c r="F11" s="10"/>
    </row>
    <row r="12" spans="1:13" s="11" customFormat="1" ht="40.5" customHeight="1" x14ac:dyDescent="0.25">
      <c r="A12" s="6"/>
      <c r="B12" s="7" t="s">
        <v>32</v>
      </c>
      <c r="C12" s="41">
        <v>1</v>
      </c>
      <c r="D12" s="9">
        <v>1500</v>
      </c>
      <c r="E12" s="44">
        <f>D12*C12</f>
        <v>1500</v>
      </c>
      <c r="F12" s="10"/>
    </row>
    <row r="13" spans="1:13" s="11" customFormat="1" ht="61.5" customHeight="1" x14ac:dyDescent="0.25">
      <c r="A13" s="6">
        <v>4</v>
      </c>
      <c r="B13" s="35" t="s">
        <v>33</v>
      </c>
      <c r="C13" s="41"/>
      <c r="D13" s="9"/>
      <c r="E13" s="44">
        <v>70000</v>
      </c>
      <c r="F13" s="10"/>
      <c r="H13" s="53">
        <f>E13+1435683</f>
        <v>1505683</v>
      </c>
      <c r="I13" s="11">
        <f>1450683+48840</f>
        <v>1499523</v>
      </c>
      <c r="M13" s="11">
        <f>19+25</f>
        <v>44</v>
      </c>
    </row>
    <row r="14" spans="1:13" s="11" customFormat="1" ht="47.25" x14ac:dyDescent="0.25">
      <c r="A14" s="6">
        <v>5</v>
      </c>
      <c r="B14" s="42" t="s">
        <v>34</v>
      </c>
      <c r="C14" s="8"/>
      <c r="D14" s="9"/>
      <c r="E14" s="44">
        <v>70000</v>
      </c>
      <c r="F14" s="10"/>
      <c r="H14" s="13">
        <f>1123280</f>
        <v>1123280</v>
      </c>
      <c r="I14" s="11">
        <v>723200</v>
      </c>
      <c r="J14" s="11">
        <f>H14-I14</f>
        <v>400080</v>
      </c>
    </row>
    <row r="15" spans="1:13" s="11" customFormat="1" ht="31.5" customHeight="1" x14ac:dyDescent="0.25">
      <c r="A15" s="6">
        <v>6</v>
      </c>
      <c r="B15" s="35" t="s">
        <v>27</v>
      </c>
      <c r="C15" s="8"/>
      <c r="D15" s="9"/>
      <c r="E15" s="44">
        <v>0</v>
      </c>
      <c r="F15" s="10"/>
      <c r="H15" s="13">
        <f>1178280+30000</f>
        <v>1208280</v>
      </c>
    </row>
    <row r="16" spans="1:13" s="11" customFormat="1" ht="31.5" customHeight="1" x14ac:dyDescent="0.25">
      <c r="A16" s="6">
        <v>7</v>
      </c>
      <c r="B16" s="35" t="s">
        <v>35</v>
      </c>
      <c r="C16" s="8"/>
      <c r="D16" s="9"/>
      <c r="E16" s="44">
        <v>71000</v>
      </c>
      <c r="F16" s="10"/>
      <c r="H16" s="13"/>
    </row>
    <row r="17" spans="1:37" s="11" customFormat="1" ht="31.5" customHeight="1" x14ac:dyDescent="0.25">
      <c r="A17" s="101">
        <v>8</v>
      </c>
      <c r="B17" s="102" t="s">
        <v>39</v>
      </c>
      <c r="C17" s="103"/>
      <c r="D17" s="104"/>
      <c r="E17" s="105">
        <v>15000</v>
      </c>
      <c r="F17" s="106"/>
      <c r="H17" s="13"/>
    </row>
    <row r="18" spans="1:37" s="11" customFormat="1" ht="57.75" customHeight="1" thickBot="1" x14ac:dyDescent="0.3">
      <c r="A18" s="63">
        <v>9</v>
      </c>
      <c r="B18" s="64" t="s">
        <v>25</v>
      </c>
      <c r="C18" s="65"/>
      <c r="D18" s="66"/>
      <c r="E18" s="67">
        <v>0</v>
      </c>
      <c r="F18" s="68"/>
      <c r="L18" s="11">
        <f>38+25</f>
        <v>63</v>
      </c>
    </row>
    <row r="19" spans="1:37" s="11" customFormat="1" ht="28.5" customHeight="1" thickBot="1" x14ac:dyDescent="0.3">
      <c r="A19" s="94" t="s">
        <v>5</v>
      </c>
      <c r="B19" s="95"/>
      <c r="C19" s="95"/>
      <c r="D19" s="95"/>
      <c r="E19" s="62">
        <f>SUM(E8:E18)</f>
        <v>251200</v>
      </c>
      <c r="F19" s="62">
        <f>E19</f>
        <v>251200</v>
      </c>
    </row>
    <row r="20" spans="1:37" s="11" customFormat="1" ht="28.5" customHeight="1" thickBot="1" x14ac:dyDescent="0.3">
      <c r="A20" s="96" t="s">
        <v>8</v>
      </c>
      <c r="B20" s="97"/>
      <c r="C20" s="97"/>
      <c r="D20" s="97"/>
      <c r="E20" s="97"/>
      <c r="F20" s="98"/>
      <c r="I20" s="13"/>
    </row>
    <row r="21" spans="1:37" s="11" customFormat="1" ht="36" customHeight="1" x14ac:dyDescent="0.25">
      <c r="A21" s="26">
        <v>1</v>
      </c>
      <c r="B21" s="27" t="s">
        <v>23</v>
      </c>
      <c r="C21" s="45">
        <v>1</v>
      </c>
      <c r="D21" s="28">
        <v>29000</v>
      </c>
      <c r="E21" s="44">
        <f>D21*C21</f>
        <v>29000</v>
      </c>
      <c r="F21" s="29"/>
      <c r="I21" s="13"/>
    </row>
    <row r="22" spans="1:37" s="11" customFormat="1" ht="31.5" x14ac:dyDescent="0.25">
      <c r="A22" s="26">
        <v>2</v>
      </c>
      <c r="B22" s="27" t="s">
        <v>40</v>
      </c>
      <c r="C22" s="45"/>
      <c r="D22" s="28"/>
      <c r="E22" s="44">
        <f>60000+14500</f>
        <v>74500</v>
      </c>
      <c r="F22" s="29"/>
      <c r="I22" s="13"/>
    </row>
    <row r="23" spans="1:37" s="11" customFormat="1" ht="21" x14ac:dyDescent="0.25">
      <c r="A23" s="26">
        <v>3</v>
      </c>
      <c r="B23" s="27" t="s">
        <v>36</v>
      </c>
      <c r="C23" s="45"/>
      <c r="D23" s="28"/>
      <c r="E23" s="44">
        <v>31000</v>
      </c>
      <c r="F23" s="29"/>
      <c r="I23" s="13"/>
    </row>
    <row r="24" spans="1:37" s="11" customFormat="1" ht="94.5" x14ac:dyDescent="0.25">
      <c r="A24" s="26">
        <v>4</v>
      </c>
      <c r="B24" s="27" t="s">
        <v>41</v>
      </c>
      <c r="C24" s="45">
        <v>0</v>
      </c>
      <c r="D24" s="28"/>
      <c r="E24" s="44">
        <f>2500+800+9500+1000+2570+550+2950+13980+800+1750</f>
        <v>36400</v>
      </c>
      <c r="F24" s="29"/>
      <c r="I24" s="13"/>
    </row>
    <row r="25" spans="1:37" s="11" customFormat="1" ht="21.75" thickBot="1" x14ac:dyDescent="0.3">
      <c r="A25" s="26">
        <v>5</v>
      </c>
      <c r="B25" s="27" t="s">
        <v>45</v>
      </c>
      <c r="C25" s="45">
        <v>500</v>
      </c>
      <c r="D25" s="28">
        <v>1420</v>
      </c>
      <c r="E25" s="44">
        <f>D25*C25</f>
        <v>710000</v>
      </c>
      <c r="F25" s="29" t="s">
        <v>46</v>
      </c>
      <c r="I25" s="13"/>
    </row>
    <row r="26" spans="1:37" s="15" customFormat="1" ht="30" customHeight="1" thickBot="1" x14ac:dyDescent="0.3">
      <c r="A26" s="99" t="s">
        <v>5</v>
      </c>
      <c r="B26" s="100"/>
      <c r="C26" s="100"/>
      <c r="D26" s="100"/>
      <c r="E26" s="12">
        <f>SUM(E21:E25)</f>
        <v>880900</v>
      </c>
      <c r="F26" s="34">
        <f>E26</f>
        <v>880900</v>
      </c>
    </row>
    <row r="27" spans="1:37" s="15" customFormat="1" ht="30" customHeight="1" thickBot="1" x14ac:dyDescent="0.3">
      <c r="A27" s="96" t="s">
        <v>9</v>
      </c>
      <c r="B27" s="97"/>
      <c r="C27" s="97"/>
      <c r="D27" s="97"/>
      <c r="E27" s="97"/>
      <c r="F27" s="98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s="15" customFormat="1" ht="30.75" customHeight="1" x14ac:dyDescent="0.25">
      <c r="A28" s="14">
        <v>1</v>
      </c>
      <c r="B28" s="17" t="s">
        <v>21</v>
      </c>
      <c r="C28" s="18"/>
      <c r="D28" s="19"/>
      <c r="E28" s="44">
        <v>18160</v>
      </c>
      <c r="F28" s="20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s="15" customFormat="1" ht="30.75" customHeight="1" x14ac:dyDescent="0.25">
      <c r="A29" s="14">
        <v>2</v>
      </c>
      <c r="B29" s="22" t="s">
        <v>14</v>
      </c>
      <c r="C29" s="23"/>
      <c r="D29" s="24"/>
      <c r="E29" s="44">
        <v>3540</v>
      </c>
      <c r="F29" s="2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s="15" customFormat="1" ht="30.75" customHeight="1" x14ac:dyDescent="0.25">
      <c r="A30" s="14">
        <v>3</v>
      </c>
      <c r="B30" s="22" t="s">
        <v>38</v>
      </c>
      <c r="C30" s="23"/>
      <c r="D30" s="24"/>
      <c r="E30" s="44">
        <v>46477</v>
      </c>
      <c r="F30" s="2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s="15" customFormat="1" ht="30.75" customHeight="1" x14ac:dyDescent="0.25">
      <c r="A31" s="14">
        <v>4</v>
      </c>
      <c r="B31" s="22" t="s">
        <v>42</v>
      </c>
      <c r="C31" s="23"/>
      <c r="D31" s="24"/>
      <c r="E31" s="44">
        <f>3600+500</f>
        <v>4100</v>
      </c>
      <c r="F31" s="2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s="15" customFormat="1" ht="30.75" customHeight="1" x14ac:dyDescent="0.25">
      <c r="A32" s="14">
        <v>5</v>
      </c>
      <c r="B32" s="22" t="s">
        <v>43</v>
      </c>
      <c r="C32" s="23"/>
      <c r="D32" s="24"/>
      <c r="E32" s="44">
        <v>8730</v>
      </c>
      <c r="F32" s="2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s="15" customFormat="1" ht="30.75" customHeight="1" thickBot="1" x14ac:dyDescent="0.3">
      <c r="A33" s="14">
        <v>6</v>
      </c>
      <c r="B33" s="22" t="s">
        <v>37</v>
      </c>
      <c r="C33" s="23"/>
      <c r="D33" s="24"/>
      <c r="E33" s="44">
        <f>3000+4720</f>
        <v>7720</v>
      </c>
      <c r="F33" s="2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s="15" customFormat="1" ht="30" customHeight="1" thickBot="1" x14ac:dyDescent="0.3">
      <c r="A34" s="91" t="s">
        <v>44</v>
      </c>
      <c r="B34" s="92"/>
      <c r="C34" s="92"/>
      <c r="D34" s="93"/>
      <c r="E34" s="34">
        <f>SUM(E28:E33)</f>
        <v>88727</v>
      </c>
      <c r="F34" s="34">
        <f>E34</f>
        <v>88727</v>
      </c>
      <c r="G34" s="16"/>
      <c r="H34" s="16"/>
      <c r="I34" s="21"/>
      <c r="J34" s="16"/>
      <c r="K34" s="16"/>
      <c r="L34" s="16"/>
      <c r="M34" s="16"/>
      <c r="N34" s="16"/>
      <c r="O34" s="16"/>
    </row>
    <row r="35" spans="1:37" s="32" customFormat="1" ht="30" customHeight="1" thickBot="1" x14ac:dyDescent="0.3">
      <c r="A35" s="88" t="s">
        <v>18</v>
      </c>
      <c r="B35" s="89"/>
      <c r="C35" s="89"/>
      <c r="D35" s="89"/>
      <c r="E35" s="90"/>
      <c r="F35" s="46">
        <f>F19+F26+F34</f>
        <v>1220827</v>
      </c>
      <c r="G35" s="30"/>
      <c r="H35" s="30"/>
      <c r="I35" s="31"/>
      <c r="J35" s="30"/>
      <c r="K35" s="30"/>
      <c r="L35" s="30"/>
      <c r="M35" s="30"/>
      <c r="N35" s="30"/>
      <c r="O35" s="30"/>
    </row>
    <row r="36" spans="1:37" s="32" customFormat="1" ht="30" customHeight="1" thickBot="1" x14ac:dyDescent="0.3">
      <c r="A36" s="88" t="s">
        <v>47</v>
      </c>
      <c r="B36" s="89"/>
      <c r="C36" s="89"/>
      <c r="D36" s="89"/>
      <c r="E36" s="90"/>
      <c r="F36" s="46">
        <v>710000</v>
      </c>
      <c r="G36" s="30"/>
      <c r="H36" s="30"/>
      <c r="I36" s="31"/>
      <c r="J36" s="30"/>
      <c r="K36" s="30"/>
      <c r="L36" s="30"/>
      <c r="M36" s="30"/>
      <c r="N36" s="30"/>
      <c r="O36" s="30"/>
    </row>
    <row r="37" spans="1:37" s="32" customFormat="1" ht="30" customHeight="1" thickBot="1" x14ac:dyDescent="0.3">
      <c r="A37" s="88" t="s">
        <v>48</v>
      </c>
      <c r="B37" s="89"/>
      <c r="C37" s="89"/>
      <c r="D37" s="89"/>
      <c r="E37" s="90"/>
      <c r="F37" s="46">
        <f>F35-F36</f>
        <v>510827</v>
      </c>
      <c r="G37" s="30"/>
      <c r="H37" s="30"/>
      <c r="I37" s="31"/>
      <c r="J37" s="30"/>
      <c r="K37" s="30"/>
      <c r="L37" s="30"/>
      <c r="M37" s="30"/>
      <c r="N37" s="30"/>
      <c r="O37" s="30"/>
    </row>
    <row r="38" spans="1:37" ht="36" customHeight="1" x14ac:dyDescent="0.25">
      <c r="A38" s="69" t="s">
        <v>24</v>
      </c>
      <c r="B38" s="70"/>
      <c r="C38" s="54"/>
      <c r="D38" s="55">
        <f>35662345+18172936+27661779+22713600</f>
        <v>104210660</v>
      </c>
    </row>
    <row r="39" spans="1:37" ht="21" x14ac:dyDescent="0.25">
      <c r="A39" s="75" t="s">
        <v>15</v>
      </c>
      <c r="B39" s="76"/>
      <c r="C39" s="36"/>
      <c r="D39" s="37">
        <v>3270064</v>
      </c>
    </row>
    <row r="40" spans="1:37" ht="21" x14ac:dyDescent="0.25">
      <c r="A40" s="75" t="s">
        <v>16</v>
      </c>
      <c r="B40" s="76"/>
      <c r="C40" s="36"/>
      <c r="D40" s="37">
        <f>D38+D39</f>
        <v>107480724</v>
      </c>
    </row>
    <row r="41" spans="1:37" ht="21" x14ac:dyDescent="0.25">
      <c r="A41" s="71" t="s">
        <v>13</v>
      </c>
      <c r="B41" s="72"/>
      <c r="C41" s="36"/>
      <c r="D41" s="38">
        <f>67865857+330781+232972+60000+35000+25000+22000+755968+213535</f>
        <v>69541113</v>
      </c>
    </row>
    <row r="42" spans="1:37" ht="21.75" thickBot="1" x14ac:dyDescent="0.3">
      <c r="A42" s="73" t="s">
        <v>17</v>
      </c>
      <c r="B42" s="74"/>
      <c r="C42" s="39"/>
      <c r="D42" s="40">
        <f>D40-D41</f>
        <v>37939611</v>
      </c>
    </row>
    <row r="43" spans="1:37" x14ac:dyDescent="0.25">
      <c r="H43" s="43"/>
    </row>
    <row r="45" spans="1:37" x14ac:dyDescent="0.25">
      <c r="D45" s="1">
        <v>67865857</v>
      </c>
    </row>
  </sheetData>
  <mergeCells count="19">
    <mergeCell ref="A36:E36"/>
    <mergeCell ref="A37:E37"/>
    <mergeCell ref="A35:E35"/>
    <mergeCell ref="A34:D34"/>
    <mergeCell ref="A6:F6"/>
    <mergeCell ref="A19:D19"/>
    <mergeCell ref="A20:F20"/>
    <mergeCell ref="A26:D26"/>
    <mergeCell ref="A27:F27"/>
    <mergeCell ref="A2:F2"/>
    <mergeCell ref="A3:F3"/>
    <mergeCell ref="A4:E4"/>
    <mergeCell ref="A5:B5"/>
    <mergeCell ref="D5:F5"/>
    <mergeCell ref="A38:B38"/>
    <mergeCell ref="A41:B41"/>
    <mergeCell ref="A42:B42"/>
    <mergeCell ref="A39:B39"/>
    <mergeCell ref="A40:B40"/>
  </mergeCells>
  <pageMargins left="0.7" right="0.7" top="0.75" bottom="0.75" header="0.3" footer="0.3"/>
  <pageSetup scale="75" fitToWidth="0" fitToHeight="0" orientation="portrait" r:id="rId1"/>
  <rowBreaks count="1" manualBreakCount="1">
    <brk id="26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</vt:lpstr>
      <vt:lpstr>School!Print_Area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Rehman</dc:creator>
  <cp:lastModifiedBy>OC</cp:lastModifiedBy>
  <cp:lastPrinted>2026-07-17T09:14:51Z</cp:lastPrinted>
  <dcterms:created xsi:type="dcterms:W3CDTF">2019-01-18T11:53:40Z</dcterms:created>
  <dcterms:modified xsi:type="dcterms:W3CDTF">2026-07-24T09:58:59Z</dcterms:modified>
</cp:coreProperties>
</file>